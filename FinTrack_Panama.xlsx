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💰 Quincenas" sheetId="2" state="visible" r:id="rId2"/>
    <sheet name="💸 Gastos" sheetId="3" state="visible" r:id="rId3"/>
    <sheet name="💳 Deudas" sheetId="4" state="visible" r:id="rId4"/>
    <sheet name="🎯 Ahorros" sheetId="5" state="visible" r:id="rId5"/>
    <sheet name="🏛️ Cuentas" sheetId="6" state="visible" r:id="rId6"/>
    <sheet name="📋 Instrucci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 #,##0.00"/>
    <numFmt numFmtId="165" formatCode="0.0%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  <sz val="12"/>
    </font>
    <font>
      <color rgb="00000000"/>
      <sz val="10"/>
    </font>
    <font>
      <b val="1"/>
      <color rgb="0016A34A"/>
      <sz val="10"/>
    </font>
    <font>
      <b val="1"/>
      <color rgb="00DC2626"/>
      <sz val="10"/>
    </font>
    <font>
      <b val="1"/>
      <color rgb="00000000"/>
      <sz val="12"/>
    </font>
    <font>
      <b val="1"/>
      <color rgb="00D97706"/>
      <sz val="10"/>
    </font>
    <font>
      <i val="1"/>
      <color rgb="0092400E"/>
      <sz val="9"/>
    </font>
    <font>
      <b val="1"/>
      <color rgb="00FFFFFF"/>
      <sz val="14"/>
    </font>
    <font>
      <b val="1"/>
      <color rgb="00FFFFFF"/>
      <sz val="11"/>
    </font>
    <font>
      <b val="1"/>
      <color rgb="00374151"/>
      <sz val="11"/>
    </font>
    <font>
      <b val="1"/>
      <color rgb="00000000"/>
      <sz val="14"/>
    </font>
    <font>
      <b val="1"/>
      <color rgb="0000000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74151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2626"/>
      </patternFill>
    </fill>
    <fill>
      <patternFill patternType="solid">
        <fgColor rgb="00FEE2E2"/>
      </patternFill>
    </fill>
    <fill>
      <patternFill patternType="solid">
        <fgColor rgb="00D97706"/>
      </patternFill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9FAFB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" fontId="8" fillId="5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164" fontId="4" fillId="13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 wrapText="1"/>
    </xf>
    <xf numFmtId="164" fontId="11" fillId="2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 wrapText="1"/>
    </xf>
    <xf numFmtId="164" fontId="11" fillId="7" borderId="1" applyAlignment="1" pivotButton="0" quotePrefix="0" xfId="0">
      <alignment horizontal="center" vertical="center" wrapText="1"/>
    </xf>
    <xf numFmtId="0" fontId="12" fillId="0" borderId="0" pivotButton="0" quotePrefix="0" xfId="0"/>
    <xf numFmtId="165" fontId="4" fillId="13" borderId="1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164" fontId="14" fillId="9" borderId="1" applyAlignment="1" pivotButton="0" quotePrefix="0" xfId="0">
      <alignment horizontal="center" vertical="center" wrapText="1"/>
    </xf>
    <xf numFmtId="0" fontId="10" fillId="10" borderId="0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left" vertical="center"/>
    </xf>
    <xf numFmtId="164" fontId="4" fillId="11" borderId="1" applyAlignment="1" pivotButton="0" quotePrefix="0" xfId="0">
      <alignment horizontal="left" vertical="center"/>
    </xf>
    <xf numFmtId="165" fontId="5" fillId="11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  <col width="20" customWidth="1" min="4" max="4"/>
  </cols>
  <sheetData>
    <row r="1" ht="40" customHeight="1">
      <c r="A1" s="1" t="inlineStr">
        <is>
          <t>🏦  FinTrack Panama — Panel de Control</t>
        </is>
      </c>
    </row>
    <row r="2" ht="18" customHeight="1">
      <c r="A2" s="2" t="inlineStr">
        <is>
          <t>Actualizado: 06/04/2026</t>
        </is>
      </c>
    </row>
    <row r="3" ht="10" customHeight="1"/>
    <row r="4" ht="28" customHeight="1">
      <c r="A4" s="3" t="inlineStr">
        <is>
          <t>💰 RESUMEN DE INGRESOS</t>
        </is>
      </c>
      <c r="B4" s="4" t="n"/>
      <c r="C4" s="5" t="inlineStr">
        <is>
          <t>🏦 DEUDAS TOTALES</t>
        </is>
      </c>
      <c r="D4" s="4" t="n"/>
    </row>
    <row r="5" ht="22" customHeight="1">
      <c r="A5" s="6" t="inlineStr">
        <is>
          <t>Salario Bruto (quincenal)</t>
        </is>
      </c>
      <c r="B5" s="7">
        <f>IFERROR(AVERAGE('💰 Quincenas'!C:C),0)</f>
        <v/>
      </c>
      <c r="C5" s="6" t="inlineStr">
        <is>
          <t>Total Deudas Pendientes</t>
        </is>
      </c>
      <c r="D5" s="8">
        <f>IFERROR(SUMIF('💳 Deudas'!G2:G500,"No",'💳 Deudas'!E2:E500),0)</f>
        <v/>
      </c>
    </row>
    <row r="6" ht="22" customHeight="1">
      <c r="A6" s="9" t="inlineStr">
        <is>
          <t>Deducción CSS (9.75%)</t>
        </is>
      </c>
      <c r="B6" s="10">
        <f>IFERROR(AVERAGE('💰 Quincenas'!D:D),0)</f>
        <v/>
      </c>
      <c r="C6" s="9" t="inlineStr">
        <is>
          <t>Pago Mensual Total</t>
        </is>
      </c>
      <c r="D6" s="11">
        <f>IFERROR(SUMIF('💳 Deudas'!G2:G500,"No",'💳 Deudas'!F2:F500),0)</f>
        <v/>
      </c>
    </row>
    <row r="7" ht="22" customHeight="1">
      <c r="A7" s="6" t="inlineStr">
        <is>
          <t>Deducción Educativo (1.25%)</t>
        </is>
      </c>
      <c r="B7" s="7">
        <f>IFERROR(AVERAGE('💰 Quincenas'!E:E),0)</f>
        <v/>
      </c>
      <c r="C7" s="6" t="inlineStr">
        <is>
          <t>Número de Deudas</t>
        </is>
      </c>
      <c r="D7" s="12">
        <f>IFERROR(COUNTIF('💳 Deudas'!G2:G500,"No"),0)</f>
        <v/>
      </c>
    </row>
    <row r="8" ht="10" customHeight="1">
      <c r="A8" s="9" t="inlineStr">
        <is>
          <t>Salario Neto (quincenal)</t>
        </is>
      </c>
      <c r="B8" s="10">
        <f>IFERROR(AVERAGE('💰 Quincenas'!F:F),0)</f>
        <v/>
      </c>
    </row>
    <row r="9" ht="28" customHeight="1">
      <c r="A9" s="6" t="inlineStr">
        <is>
          <t>Salario Neto (mensual)</t>
        </is>
      </c>
      <c r="B9" s="7">
        <f>IFERROR(AVERAGE('💰 Quincenas'!F:F)*2,0)</f>
        <v/>
      </c>
      <c r="C9" s="13" t="inlineStr">
        <is>
          <t>🎯 METAS DE AHORRO</t>
        </is>
      </c>
      <c r="D9" s="4" t="n"/>
    </row>
    <row r="10" ht="22" customHeight="1">
      <c r="C10" s="14" t="inlineStr">
        <is>
          <t>Meta Principal (objetivo)</t>
        </is>
      </c>
      <c r="D10" s="15">
        <f>IFERROR(MAXIFS('🎯 Ahorros'!C2:C500,'🎯 Ahorros'!F2:F500,"Sí"),0)</f>
        <v/>
      </c>
    </row>
    <row r="11" ht="22" customHeight="1">
      <c r="A11" s="16" t="inlineStr">
        <is>
          <t>💸 RESUMEN DE GASTOS</t>
        </is>
      </c>
      <c r="B11" s="4" t="n"/>
      <c r="C11" s="6" t="inlineStr">
        <is>
          <t>Ahorro Acumulado Total</t>
        </is>
      </c>
      <c r="D11" s="7">
        <f>IFERROR(SUM('🎯 Ahorros'!D2:D500),0)</f>
        <v/>
      </c>
    </row>
    <row r="12" ht="22" customHeight="1">
      <c r="A12" s="17" t="inlineStr">
        <is>
          <t>Total Gastos (este mes)</t>
        </is>
      </c>
      <c r="B12" s="18">
        <f>IFERROR(SUMPRODUCT(('💸 Gastos'!B2:B500&lt;&gt;"")*('💸 Gastos'!D2:D500)),0)</f>
        <v/>
      </c>
      <c r="C12" s="14" t="inlineStr">
        <is>
          <t>% Alcanzado (meta princ.)</t>
        </is>
      </c>
      <c r="D12" s="19">
        <f>IFERROR(D11/D10,0)</f>
        <v/>
      </c>
    </row>
    <row r="13" ht="22" customHeight="1">
      <c r="A13" s="6" t="inlineStr">
        <is>
          <t>Gastos Fijos</t>
        </is>
      </c>
      <c r="B13" s="20">
        <f>IFERROR(SUMIF('💸 Gastos'!E2:E500,"FIJO",'💸 Gastos'!D2:D500),0)</f>
        <v/>
      </c>
    </row>
    <row r="14" ht="22" customHeight="1">
      <c r="A14" s="17" t="inlineStr">
        <is>
          <t>Gastos Variables</t>
        </is>
      </c>
      <c r="B14" s="18">
        <f>IFERROR(SUMIF('💸 Gastos'!E2:E500,"VARIABLE",'💸 Gastos'!D2:D500),0)</f>
        <v/>
      </c>
    </row>
    <row r="15" ht="22" customHeight="1">
      <c r="A15" s="6" t="inlineStr">
        <is>
          <t>Balance (Neto - Gastos)</t>
        </is>
      </c>
      <c r="B15" s="7">
        <f>B9-B13</f>
        <v/>
      </c>
    </row>
    <row r="16" ht="10" customHeight="1"/>
    <row r="18" ht="20" customHeight="1">
      <c r="A18" s="21" t="inlineStr">
        <is>
          <t>ℹ️  Todos los cálculos se actualizan automáticamente al ingresar datos en las otras hojas.</t>
        </is>
      </c>
    </row>
  </sheetData>
  <mergeCells count="7">
    <mergeCell ref="A4:B4"/>
    <mergeCell ref="A1:D1"/>
    <mergeCell ref="A18:D18"/>
    <mergeCell ref="A11:B11"/>
    <mergeCell ref="A2:D2"/>
    <mergeCell ref="C9:D9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6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6" customWidth="1" min="9" max="9"/>
    <col width="30" customWidth="1" min="10" max="10"/>
  </cols>
  <sheetData>
    <row r="1" ht="35" customHeight="1">
      <c r="A1" s="22" t="inlineStr">
        <is>
          <t>💰  Registro de Quincenas — FinTrack Panama</t>
        </is>
      </c>
    </row>
    <row r="2" ht="30" customHeight="1">
      <c r="A2" s="23" t="inlineStr">
        <is>
          <t>Período</t>
        </is>
      </c>
      <c r="B2" s="23" t="inlineStr">
        <is>
          <t>Fecha Pago</t>
        </is>
      </c>
      <c r="C2" s="23" t="inlineStr">
        <is>
          <t>Salario Bruto</t>
        </is>
      </c>
      <c r="D2" s="23" t="inlineStr">
        <is>
          <t>CSS (9.75%)</t>
        </is>
      </c>
      <c r="E2" s="23" t="inlineStr">
        <is>
          <t>Educativo (1.25%)</t>
        </is>
      </c>
      <c r="F2" s="23" t="inlineStr">
        <is>
          <t>IFARHU (0.5%)</t>
        </is>
      </c>
      <c r="G2" s="23" t="inlineStr">
        <is>
          <t>Otras Deduc.</t>
        </is>
      </c>
      <c r="H2" s="23" t="inlineStr">
        <is>
          <t>Salario Neto</t>
        </is>
      </c>
      <c r="I2" s="23" t="inlineStr">
        <is>
          <t>Incluye IFARHU</t>
        </is>
      </c>
      <c r="J2" s="23" t="inlineStr">
        <is>
          <t>Notas</t>
        </is>
      </c>
    </row>
    <row r="3" ht="20" customHeight="1">
      <c r="A3" s="6" t="inlineStr">
        <is>
          <t>1ra Quincena Enero 2026</t>
        </is>
      </c>
      <c r="B3" s="6" t="inlineStr">
        <is>
          <t>15/01/2026</t>
        </is>
      </c>
      <c r="C3" s="24" t="n">
        <v>900</v>
      </c>
      <c r="D3" s="24">
        <f>C3*0.0975</f>
        <v/>
      </c>
      <c r="E3" s="24">
        <f>C3*0.0125</f>
        <v/>
      </c>
      <c r="F3" s="24">
        <f>IF(I3="Sí",C3*0.005,0)</f>
        <v/>
      </c>
      <c r="G3" s="24" t="n">
        <v>0</v>
      </c>
      <c r="H3" s="25">
        <f>C3-D3-E3-F3-G3</f>
        <v/>
      </c>
      <c r="I3" s="6" t="inlineStr">
        <is>
          <t>No</t>
        </is>
      </c>
      <c r="J3" s="6" t="inlineStr"/>
    </row>
    <row r="4" ht="20" customHeight="1">
      <c r="A4" s="26" t="inlineStr">
        <is>
          <t>2da Quincena Enero 2026</t>
        </is>
      </c>
      <c r="B4" s="26" t="inlineStr">
        <is>
          <t>31/01/2026</t>
        </is>
      </c>
      <c r="C4" s="27" t="n">
        <v>900</v>
      </c>
      <c r="D4" s="27">
        <f>C4*0.0975</f>
        <v/>
      </c>
      <c r="E4" s="27">
        <f>C4*0.0125</f>
        <v/>
      </c>
      <c r="F4" s="27">
        <f>IF(I4="Sí",C4*0.005,0)</f>
        <v/>
      </c>
      <c r="G4" s="27" t="n">
        <v>0</v>
      </c>
      <c r="H4" s="25">
        <f>C4-D4-E4-F4-G4</f>
        <v/>
      </c>
      <c r="I4" s="26" t="inlineStr">
        <is>
          <t>No</t>
        </is>
      </c>
      <c r="J4" s="26" t="inlineStr"/>
    </row>
    <row r="5" ht="20" customHeight="1">
      <c r="A5" s="6" t="inlineStr">
        <is>
          <t>1ra Quincena Feb 2026</t>
        </is>
      </c>
      <c r="B5" s="6" t="inlineStr">
        <is>
          <t>15/02/2026</t>
        </is>
      </c>
      <c r="C5" s="24" t="n">
        <v>900</v>
      </c>
      <c r="D5" s="24">
        <f>C5*0.0975</f>
        <v/>
      </c>
      <c r="E5" s="24">
        <f>C5*0.0125</f>
        <v/>
      </c>
      <c r="F5" s="24">
        <f>IF(I5="Sí",C5*0.005,0)</f>
        <v/>
      </c>
      <c r="G5" s="24" t="n">
        <v>0</v>
      </c>
      <c r="H5" s="25">
        <f>C5-D5-E5-F5-G5</f>
        <v/>
      </c>
      <c r="I5" s="6" t="inlineStr">
        <is>
          <t>No</t>
        </is>
      </c>
      <c r="J5" s="6" t="inlineStr"/>
    </row>
    <row r="6" ht="20" customHeight="1">
      <c r="A6" s="26" t="inlineStr">
        <is>
          <t>2da Quincena Feb 2026</t>
        </is>
      </c>
      <c r="B6" s="26" t="inlineStr">
        <is>
          <t>28/02/2026</t>
        </is>
      </c>
      <c r="C6" s="27" t="n">
        <v>900</v>
      </c>
      <c r="D6" s="27">
        <f>C6*0.0975</f>
        <v/>
      </c>
      <c r="E6" s="27">
        <f>C6*0.0125</f>
        <v/>
      </c>
      <c r="F6" s="27">
        <f>IF(I6="Sí",C6*0.005,0)</f>
        <v/>
      </c>
      <c r="G6" s="27" t="n">
        <v>0</v>
      </c>
      <c r="H6" s="25">
        <f>C6-D6-E6-F6-G6</f>
        <v/>
      </c>
      <c r="I6" s="26" t="inlineStr">
        <is>
          <t>No</t>
        </is>
      </c>
      <c r="J6" s="26" t="inlineStr"/>
    </row>
    <row r="7" ht="24" customHeight="1">
      <c r="A7" s="28" t="inlineStr">
        <is>
          <t>TOTALES</t>
        </is>
      </c>
      <c r="C7" s="29">
        <f>SUM(C3:C6)</f>
        <v/>
      </c>
      <c r="D7" s="29">
        <f>SUM(D3:D6)</f>
        <v/>
      </c>
      <c r="E7" s="29">
        <f>SUM(E3:E6)</f>
        <v/>
      </c>
      <c r="F7" s="29">
        <f>SUM(F3:F6)</f>
        <v/>
      </c>
      <c r="G7" s="29">
        <f>SUM(G3:G6)</f>
        <v/>
      </c>
      <c r="H7" s="29">
        <f>SUM(H3:H6)</f>
        <v/>
      </c>
    </row>
  </sheetData>
  <mergeCells count="2">
    <mergeCell ref="A1:J1"/>
    <mergeCell ref="A7:B7"/>
  </mergeCells>
  <dataValidations count="1">
    <dataValidation sqref="I3:I10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4" customWidth="1" min="4" max="4"/>
    <col width="12" customWidth="1" min="5" max="5"/>
    <col width="24" customWidth="1" min="6" max="6"/>
    <col width="30" customWidth="1" min="7" max="7"/>
  </cols>
  <sheetData>
    <row r="1" ht="35" customHeight="1">
      <c r="A1" s="30" t="inlineStr">
        <is>
          <t>💸  Registro de Gastos — FinTrack Panama</t>
        </is>
      </c>
    </row>
    <row r="2" ht="30" customHeight="1">
      <c r="A2" s="31" t="inlineStr">
        <is>
          <t>Fecha</t>
        </is>
      </c>
      <c r="B2" s="31" t="inlineStr">
        <is>
          <t>Descripción</t>
        </is>
      </c>
      <c r="C2" s="31" t="inlineStr">
        <is>
          <t>Categoría</t>
        </is>
      </c>
      <c r="D2" s="31" t="inlineStr">
        <is>
          <t>Monto</t>
        </is>
      </c>
      <c r="E2" s="31" t="inlineStr">
        <is>
          <t>Tipo</t>
        </is>
      </c>
      <c r="F2" s="31" t="inlineStr">
        <is>
          <t>Quincena</t>
        </is>
      </c>
      <c r="G2" s="31" t="inlineStr">
        <is>
          <t>Notas</t>
        </is>
      </c>
    </row>
    <row r="3" ht="20" customHeight="1">
      <c r="A3" s="6" t="inlineStr">
        <is>
          <t>05/04/2026</t>
        </is>
      </c>
      <c r="B3" s="6" t="inlineStr">
        <is>
          <t>Supermercado El Rey</t>
        </is>
      </c>
      <c r="C3" s="6" t="inlineStr">
        <is>
          <t>ALIMENTACION</t>
        </is>
      </c>
      <c r="D3" s="24" t="n">
        <v>120</v>
      </c>
      <c r="E3" s="6" t="inlineStr">
        <is>
          <t>FIJO</t>
        </is>
      </c>
      <c r="F3" s="6" t="inlineStr">
        <is>
          <t>1ra Quincena Abril</t>
        </is>
      </c>
      <c r="G3" s="6" t="inlineStr"/>
    </row>
    <row r="4" ht="20" customHeight="1">
      <c r="A4" s="17" t="inlineStr">
        <is>
          <t>06/04/2026</t>
        </is>
      </c>
      <c r="B4" s="17" t="inlineStr">
        <is>
          <t>Metro y autobús</t>
        </is>
      </c>
      <c r="C4" s="17" t="inlineStr">
        <is>
          <t>TRANSPORTE</t>
        </is>
      </c>
      <c r="D4" s="32" t="n">
        <v>45</v>
      </c>
      <c r="E4" s="17" t="inlineStr">
        <is>
          <t>VARIABLE</t>
        </is>
      </c>
      <c r="F4" s="17" t="inlineStr">
        <is>
          <t>1ra Quincena Abril</t>
        </is>
      </c>
      <c r="G4" s="17" t="inlineStr"/>
    </row>
    <row r="5" ht="20" customHeight="1">
      <c r="A5" s="6" t="inlineStr">
        <is>
          <t>07/04/2026</t>
        </is>
      </c>
      <c r="B5" s="6" t="inlineStr">
        <is>
          <t>Cable + Internet</t>
        </is>
      </c>
      <c r="C5" s="6" t="inlineStr">
        <is>
          <t>SERVICIOS</t>
        </is>
      </c>
      <c r="D5" s="24" t="n">
        <v>80</v>
      </c>
      <c r="E5" s="6" t="inlineStr">
        <is>
          <t>FIJO</t>
        </is>
      </c>
      <c r="F5" s="6" t="inlineStr">
        <is>
          <t>1ra Quincena Abril</t>
        </is>
      </c>
      <c r="G5" s="6" t="inlineStr"/>
    </row>
    <row r="6" ht="20" customHeight="1">
      <c r="A6" s="17" t="inlineStr">
        <is>
          <t>08/04/2026</t>
        </is>
      </c>
      <c r="B6" s="17" t="inlineStr">
        <is>
          <t>Farmacia Arrocha</t>
        </is>
      </c>
      <c r="C6" s="17" t="inlineStr">
        <is>
          <t>SALUD</t>
        </is>
      </c>
      <c r="D6" s="32" t="n">
        <v>30</v>
      </c>
      <c r="E6" s="17" t="inlineStr">
        <is>
          <t>VARIABLE</t>
        </is>
      </c>
      <c r="F6" s="17" t="inlineStr">
        <is>
          <t>1ra Quincena Abril</t>
        </is>
      </c>
      <c r="G6" s="17" t="inlineStr"/>
    </row>
    <row r="7" ht="20" customHeight="1">
      <c r="A7" s="6" t="inlineStr">
        <is>
          <t>09/04/2026</t>
        </is>
      </c>
      <c r="B7" s="6" t="inlineStr">
        <is>
          <t>Netflix + Spotify</t>
        </is>
      </c>
      <c r="C7" s="6" t="inlineStr">
        <is>
          <t>ENTRETENIMIENTO</t>
        </is>
      </c>
      <c r="D7" s="24" t="n">
        <v>25</v>
      </c>
      <c r="E7" s="6" t="inlineStr">
        <is>
          <t>FIJO</t>
        </is>
      </c>
      <c r="F7" s="6" t="inlineStr">
        <is>
          <t>1ra Quincena Abril</t>
        </is>
      </c>
      <c r="G7" s="6" t="inlineStr"/>
    </row>
    <row r="8" ht="24" customHeight="1">
      <c r="A8" s="33" t="inlineStr">
        <is>
          <t>TOTAL GASTOS</t>
        </is>
      </c>
      <c r="D8" s="34">
        <f>SUM(D3:D7)</f>
        <v/>
      </c>
    </row>
    <row r="10" ht="22" customHeight="1">
      <c r="A10" s="35" t="inlineStr">
        <is>
          <t>RESUMEN POR CATEGORÍA</t>
        </is>
      </c>
    </row>
    <row r="11">
      <c r="A11" s="31" t="inlineStr">
        <is>
          <t>Categoría</t>
        </is>
      </c>
      <c r="B11" s="31" t="inlineStr">
        <is>
          <t>Total</t>
        </is>
      </c>
      <c r="C11" s="31" t="inlineStr">
        <is>
          <t>% del Total</t>
        </is>
      </c>
    </row>
    <row r="12" ht="20" customHeight="1">
      <c r="A12" s="26" t="inlineStr">
        <is>
          <t>ALIMENTACION</t>
        </is>
      </c>
      <c r="B12" s="27">
        <f>SUMIF(C3:C7,A12,D3:D7)</f>
        <v/>
      </c>
      <c r="C12" s="36">
        <f>IFERROR(B12/D8,0)</f>
        <v/>
      </c>
    </row>
    <row r="13" ht="20" customHeight="1">
      <c r="A13" s="26" t="inlineStr">
        <is>
          <t>TRANSPORTE</t>
        </is>
      </c>
      <c r="B13" s="27">
        <f>SUMIF(C3:C7,A13,D3:D7)</f>
        <v/>
      </c>
      <c r="C13" s="36">
        <f>IFERROR(B13/D8,0)</f>
        <v/>
      </c>
    </row>
    <row r="14" ht="20" customHeight="1">
      <c r="A14" s="26" t="inlineStr">
        <is>
          <t>SALUD</t>
        </is>
      </c>
      <c r="B14" s="27">
        <f>SUMIF(C3:C7,A14,D3:D7)</f>
        <v/>
      </c>
      <c r="C14" s="36">
        <f>IFERROR(B14/D8,0)</f>
        <v/>
      </c>
    </row>
    <row r="15" ht="20" customHeight="1">
      <c r="A15" s="26" t="inlineStr">
        <is>
          <t>ENTRETENIMIENTO</t>
        </is>
      </c>
      <c r="B15" s="27">
        <f>SUMIF(C3:C7,A15,D3:D7)</f>
        <v/>
      </c>
      <c r="C15" s="36">
        <f>IFERROR(B15/D8,0)</f>
        <v/>
      </c>
    </row>
    <row r="16" ht="20" customHeight="1">
      <c r="A16" s="26" t="inlineStr">
        <is>
          <t>SERVICIOS</t>
        </is>
      </c>
      <c r="B16" s="27">
        <f>SUMIF(C3:C7,A16,D3:D7)</f>
        <v/>
      </c>
      <c r="C16" s="36">
        <f>IFERROR(B16/D8,0)</f>
        <v/>
      </c>
    </row>
    <row r="17" ht="20" customHeight="1">
      <c r="A17" s="26" t="inlineStr">
        <is>
          <t>EDUCACION</t>
        </is>
      </c>
      <c r="B17" s="27">
        <f>SUMIF(C3:C7,A17,D3:D7)</f>
        <v/>
      </c>
      <c r="C17" s="36">
        <f>IFERROR(B17/D8,0)</f>
        <v/>
      </c>
    </row>
    <row r="18" ht="20" customHeight="1">
      <c r="A18" s="26" t="inlineStr">
        <is>
          <t>VIVIENDA</t>
        </is>
      </c>
      <c r="B18" s="27">
        <f>SUMIF(C3:C7,A18,D3:D7)</f>
        <v/>
      </c>
      <c r="C18" s="36">
        <f>IFERROR(B18/D8,0)</f>
        <v/>
      </c>
    </row>
    <row r="19" ht="20" customHeight="1">
      <c r="A19" s="26" t="inlineStr">
        <is>
          <t>ROPA</t>
        </is>
      </c>
      <c r="B19" s="27">
        <f>SUMIF(C3:C7,A19,D3:D7)</f>
        <v/>
      </c>
      <c r="C19" s="36">
        <f>IFERROR(B19/D8,0)</f>
        <v/>
      </c>
    </row>
    <row r="20" ht="20" customHeight="1">
      <c r="A20" s="26" t="inlineStr">
        <is>
          <t>TECNOLOGIA</t>
        </is>
      </c>
      <c r="B20" s="27">
        <f>SUMIF(C3:C7,A20,D3:D7)</f>
        <v/>
      </c>
      <c r="C20" s="36">
        <f>IFERROR(B20/D8,0)</f>
        <v/>
      </c>
    </row>
    <row r="21" ht="20" customHeight="1">
      <c r="A21" s="26" t="inlineStr">
        <is>
          <t>OTROS</t>
        </is>
      </c>
      <c r="B21" s="27">
        <f>SUMIF(C3:C7,A21,D3:D7)</f>
        <v/>
      </c>
      <c r="C21" s="36">
        <f>IFERROR(B21/D8,0)</f>
        <v/>
      </c>
    </row>
  </sheetData>
  <mergeCells count="2">
    <mergeCell ref="A8:C8"/>
    <mergeCell ref="A1:G1"/>
  </mergeCells>
  <dataValidations count="2">
    <dataValidation sqref="C3:C1000" showDropDown="0" showInputMessage="0" showErrorMessage="0" allowBlank="0" type="list">
      <formula1>"ALIMENTACION,TRANSPORTE,SALUD,ENTRETENIMIENTO,SERVICIOS,EDUCACION,VIVIENDA,ROPA,TECNOLOGIA,OTROS"</formula1>
    </dataValidation>
    <dataValidation sqref="E3:E1000" showDropDown="0" showInputMessage="0" showErrorMessage="0" allowBlank="0" type="list">
      <formula1>"FIJO,VARIABLE"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  <col width="14" customWidth="1" min="9" max="9"/>
    <col width="30" customWidth="1" min="10" max="10"/>
  </cols>
  <sheetData>
    <row r="1" ht="35" customHeight="1">
      <c r="A1" s="37" t="inlineStr">
        <is>
          <t>💳  Registro de Deudas — FinTrack Panama</t>
        </is>
      </c>
    </row>
    <row r="2" ht="30" customHeight="1">
      <c r="A2" s="31" t="inlineStr">
        <is>
          <t>Acreedor</t>
        </is>
      </c>
      <c r="B2" s="31" t="inlineStr">
        <is>
          <t>Fecha Inicio</t>
        </is>
      </c>
      <c r="C2" s="31" t="inlineStr">
        <is>
          <t>Monto Total</t>
        </is>
      </c>
      <c r="D2" s="31" t="inlineStr">
        <is>
          <t>Saldo Restante</t>
        </is>
      </c>
      <c r="E2" s="31" t="inlineStr">
        <is>
          <t>Monto Original</t>
        </is>
      </c>
      <c r="F2" s="31" t="inlineStr">
        <is>
          <t>Pago Mensual</t>
        </is>
      </c>
      <c r="G2" s="31" t="inlineStr">
        <is>
          <t>¿Pagada?</t>
        </is>
      </c>
      <c r="H2" s="31" t="inlineStr">
        <is>
          <t>Tasa Interés</t>
        </is>
      </c>
      <c r="I2" s="31" t="inlineStr">
        <is>
          <t>Fecha Fin</t>
        </is>
      </c>
      <c r="J2" s="31" t="inlineStr">
        <is>
          <t>Notas</t>
        </is>
      </c>
    </row>
    <row r="3" ht="22" customHeight="1">
      <c r="A3" s="6" t="inlineStr">
        <is>
          <t>Banco General</t>
        </is>
      </c>
      <c r="B3" s="6" t="inlineStr">
        <is>
          <t>01/06/2023</t>
        </is>
      </c>
      <c r="C3" s="24" t="n">
        <v>5000</v>
      </c>
      <c r="D3" s="24" t="n">
        <v>3200</v>
      </c>
      <c r="E3" s="24" t="n">
        <v>5000</v>
      </c>
      <c r="F3" s="24" t="n">
        <v>200</v>
      </c>
      <c r="G3" s="6" t="inlineStr">
        <is>
          <t>No</t>
        </is>
      </c>
      <c r="H3" s="6" t="inlineStr">
        <is>
          <t>18%</t>
        </is>
      </c>
      <c r="I3" s="6" t="inlineStr">
        <is>
          <t>01/06/2026</t>
        </is>
      </c>
      <c r="J3" s="6" t="inlineStr">
        <is>
          <t>Préstamo personal</t>
        </is>
      </c>
    </row>
    <row r="4" ht="24" customHeight="1">
      <c r="A4" s="38" t="inlineStr">
        <is>
          <t>TOTAL SALDO PENDIENTE</t>
        </is>
      </c>
      <c r="D4" s="39">
        <f>SUMIF(G3:G3,"No",D3:D3)</f>
        <v/>
      </c>
    </row>
  </sheetData>
  <mergeCells count="2">
    <mergeCell ref="A4:C4"/>
    <mergeCell ref="A1:J1"/>
  </mergeCells>
  <dataValidations count="1">
    <dataValidation sqref="G3:G10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5" customHeight="1">
      <c r="A1" s="40" t="inlineStr">
        <is>
          <t>🎯  Metas de Ahorro — FinTrack Panama</t>
        </is>
      </c>
    </row>
    <row r="2" ht="30" customHeight="1">
      <c r="A2" s="23" t="inlineStr">
        <is>
          <t>Meta</t>
        </is>
      </c>
      <c r="B2" s="23" t="inlineStr">
        <is>
          <t>Fecha Límite</t>
        </is>
      </c>
      <c r="C2" s="23" t="inlineStr">
        <is>
          <t>Objetivo ($)</t>
        </is>
      </c>
      <c r="D2" s="23" t="inlineStr">
        <is>
          <t>Acumulado ($)</t>
        </is>
      </c>
      <c r="E2" s="23" t="inlineStr">
        <is>
          <t>% Alcanzado</t>
        </is>
      </c>
      <c r="F2" s="23" t="inlineStr">
        <is>
          <t>¿Principal?</t>
        </is>
      </c>
      <c r="G2" s="23" t="inlineStr">
        <is>
          <t>¿Completada?</t>
        </is>
      </c>
      <c r="H2" s="23" t="inlineStr">
        <is>
          <t>Notas</t>
        </is>
      </c>
    </row>
    <row r="3" ht="22" customHeight="1">
      <c r="A3" s="6" t="inlineStr">
        <is>
          <t>Fondo de emergencia</t>
        </is>
      </c>
      <c r="B3" s="6" t="inlineStr">
        <is>
          <t>31/12/2026</t>
        </is>
      </c>
      <c r="C3" s="24" t="n">
        <v>3000</v>
      </c>
      <c r="D3" s="24" t="n">
        <v>750</v>
      </c>
      <c r="E3" s="41">
        <f>IFERROR(D3/C3,0)</f>
        <v/>
      </c>
      <c r="F3" s="6" t="inlineStr">
        <is>
          <t>Sí</t>
        </is>
      </c>
      <c r="G3" s="6" t="inlineStr">
        <is>
          <t>No</t>
        </is>
      </c>
      <c r="H3" s="6" t="inlineStr">
        <is>
          <t>Meta principal</t>
        </is>
      </c>
    </row>
    <row r="4" ht="22" customHeight="1">
      <c r="A4" s="14" t="inlineStr">
        <is>
          <t>Vacaciones en Colombia</t>
        </is>
      </c>
      <c r="B4" s="14" t="inlineStr">
        <is>
          <t>15/08/2026</t>
        </is>
      </c>
      <c r="C4" s="42" t="n">
        <v>1500</v>
      </c>
      <c r="D4" s="42" t="n">
        <v>300</v>
      </c>
      <c r="E4" s="43">
        <f>IFERROR(D4/C4,0)</f>
        <v/>
      </c>
      <c r="F4" s="14" t="inlineStr">
        <is>
          <t>No</t>
        </is>
      </c>
      <c r="G4" s="14" t="inlineStr">
        <is>
          <t>No</t>
        </is>
      </c>
      <c r="H4" s="14" t="inlineStr"/>
    </row>
  </sheetData>
  <mergeCells count="1">
    <mergeCell ref="A1:H1"/>
  </mergeCells>
  <dataValidations count="1">
    <dataValidation sqref="F3:G100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10" customWidth="1" min="5" max="5"/>
    <col width="12" customWidth="1" min="6" max="6"/>
    <col width="10" customWidth="1" min="7" max="7"/>
    <col width="30" customWidth="1" min="8" max="8"/>
  </cols>
  <sheetData>
    <row r="1" ht="35" customHeight="1">
      <c r="A1" s="22" t="inlineStr">
        <is>
          <t>🏛️  Cuentas Bancarias — FinTrack Panama</t>
        </is>
      </c>
    </row>
    <row r="2" ht="30" customHeight="1">
      <c r="A2" s="31" t="inlineStr">
        <is>
          <t>Banco</t>
        </is>
      </c>
      <c r="B2" s="31" t="inlineStr">
        <is>
          <t>Tipo</t>
        </is>
      </c>
      <c r="C2" s="31" t="inlineStr">
        <is>
          <t>Alias</t>
        </is>
      </c>
      <c r="D2" s="31" t="inlineStr">
        <is>
          <t>Saldo ($)</t>
        </is>
      </c>
      <c r="E2" s="31" t="inlineStr">
        <is>
          <t>Moneda</t>
        </is>
      </c>
      <c r="F2" s="31" t="inlineStr">
        <is>
          <t>¿Principal?</t>
        </is>
      </c>
      <c r="G2" s="31" t="inlineStr">
        <is>
          <t>¿Activa?</t>
        </is>
      </c>
      <c r="H2" s="31" t="inlineStr">
        <is>
          <t>Notas</t>
        </is>
      </c>
    </row>
    <row r="3" ht="22" customHeight="1">
      <c r="A3" s="6" t="inlineStr">
        <is>
          <t>Banco General</t>
        </is>
      </c>
      <c r="B3" s="6" t="inlineStr">
        <is>
          <t>AHORROS</t>
        </is>
      </c>
      <c r="C3" s="6" t="inlineStr">
        <is>
          <t>Mi cuenta principal</t>
        </is>
      </c>
      <c r="D3" s="24" t="n">
        <v>1500</v>
      </c>
      <c r="E3" s="6" t="inlineStr">
        <is>
          <t>USD</t>
        </is>
      </c>
      <c r="F3" s="6" t="inlineStr">
        <is>
          <t>Sí</t>
        </is>
      </c>
      <c r="G3" s="6" t="inlineStr">
        <is>
          <t>Sí</t>
        </is>
      </c>
      <c r="H3" s="6" t="inlineStr"/>
    </row>
    <row r="4" ht="22" customHeight="1">
      <c r="A4" s="9" t="inlineStr">
        <is>
          <t>Banistmo</t>
        </is>
      </c>
      <c r="B4" s="9" t="inlineStr">
        <is>
          <t>CORRIENTE</t>
        </is>
      </c>
      <c r="C4" s="9" t="inlineStr">
        <is>
          <t>Nómina</t>
        </is>
      </c>
      <c r="D4" s="44" t="n">
        <v>200</v>
      </c>
      <c r="E4" s="9" t="inlineStr">
        <is>
          <t>USD</t>
        </is>
      </c>
      <c r="F4" s="9" t="inlineStr">
        <is>
          <t>No</t>
        </is>
      </c>
      <c r="G4" s="9" t="inlineStr">
        <is>
          <t>Sí</t>
        </is>
      </c>
      <c r="H4" s="9" t="inlineStr"/>
    </row>
    <row r="5" ht="24" customHeight="1">
      <c r="A5" s="28" t="inlineStr">
        <is>
          <t>TOTAL ACTIVOS</t>
        </is>
      </c>
      <c r="D5" s="29">
        <f>SUMIF(G3:G4,"Sí",D3:D4)</f>
        <v/>
      </c>
    </row>
  </sheetData>
  <mergeCells count="2">
    <mergeCell ref="A5:C5"/>
    <mergeCell ref="A1:H1"/>
  </mergeCells>
  <dataValidations count="1">
    <dataValidation sqref="B3:B1000" showDropDown="0" showInputMessage="0" showErrorMessage="0" allowBlank="0" type="list">
      <formula1>"CORRIENTE,AHORROS,INVERSION"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 ht="40" customHeight="1">
      <c r="A1" s="22" t="inlineStr">
        <is>
          <t>📋  Instrucciones de Uso — FinTrack Panama</t>
        </is>
      </c>
    </row>
    <row r="2" ht="22" customHeight="1">
      <c r="A2" s="45" t="inlineStr">
        <is>
          <t>📊 DASHBOARD</t>
        </is>
      </c>
      <c r="B2" s="9" t="inlineStr">
        <is>
          <t>Se actualiza solo. No editar esta hoja.</t>
        </is>
      </c>
    </row>
    <row r="3" ht="22" customHeight="1">
      <c r="A3" s="46" t="inlineStr">
        <is>
          <t>💰 QUINCENAS</t>
        </is>
      </c>
      <c r="B3" s="6" t="inlineStr">
        <is>
          <t>Ingresa tu salario bruto. CSS, Educativo e IFARHU se calculan automáticamente.</t>
        </is>
      </c>
    </row>
    <row r="4" ht="22" customHeight="1">
      <c r="A4" s="45" t="inlineStr">
        <is>
          <t>💸 GASTOS</t>
        </is>
      </c>
      <c r="B4" s="9" t="inlineStr">
        <is>
          <t>Registra cada gasto con fecha, descripción, categoría y tipo (FIJO/VARIABLE).</t>
        </is>
      </c>
    </row>
    <row r="5" ht="22" customHeight="1">
      <c r="A5" s="46" t="inlineStr">
        <is>
          <t>💳 DEUDAS</t>
        </is>
      </c>
      <c r="B5" s="6" t="inlineStr">
        <is>
          <t>Una fila por deuda. Actualiza el 'Saldo Restante' cada mes.</t>
        </is>
      </c>
    </row>
    <row r="6" ht="22" customHeight="1">
      <c r="A6" s="45" t="inlineStr">
        <is>
          <t>🎯 AHORROS</t>
        </is>
      </c>
      <c r="B6" s="9" t="inlineStr">
        <is>
          <t>Una fila por meta. Actualiza el 'Acumulado ($)' cuando ahorres.</t>
        </is>
      </c>
    </row>
    <row r="7" ht="22" customHeight="1">
      <c r="A7" s="46" t="inlineStr">
        <is>
          <t>🏛️ CUENTAS</t>
        </is>
      </c>
      <c r="B7" s="6" t="inlineStr">
        <is>
          <t>Registra tus cuentas bancarias y actualiza el saldo periódicamente.</t>
        </is>
      </c>
    </row>
    <row r="8" ht="22" customHeight="1">
      <c r="A8" s="9" t="inlineStr"/>
      <c r="B8" s="9" t="inlineStr"/>
    </row>
    <row r="9" ht="22" customHeight="1">
      <c r="A9" s="46" t="inlineStr">
        <is>
          <t>🔢 FÓRMULAS CLAVE</t>
        </is>
      </c>
      <c r="B9" s="6" t="inlineStr"/>
    </row>
    <row r="10" ht="22" customHeight="1">
      <c r="A10" s="9" t="inlineStr">
        <is>
          <t>Salario Neto</t>
        </is>
      </c>
      <c r="B10" s="9">
        <f> Bruto − CSS(9.75%) − Educativo(1.25%) − IFARHU(0.5% si aplica)</f>
        <v/>
      </c>
    </row>
    <row r="11" ht="22" customHeight="1">
      <c r="A11" s="6" t="inlineStr">
        <is>
          <t>Balance mensual</t>
        </is>
      </c>
      <c r="B11" s="6">
        <f> Salario Neto × 2 − Total Gastos del mes</f>
        <v/>
      </c>
    </row>
    <row r="12" ht="22" customHeight="1">
      <c r="A12" s="9" t="inlineStr">
        <is>
          <t>% Meta de ahorro</t>
        </is>
      </c>
      <c r="B12" s="9">
        <f> Acumulado ÷ Objetivo</f>
        <v/>
      </c>
    </row>
    <row r="13" ht="22" customHeight="1">
      <c r="A13" s="6" t="inlineStr"/>
      <c r="B13" s="6" t="inlineStr"/>
    </row>
    <row r="14" ht="22" customHeight="1">
      <c r="A14" s="45" t="inlineStr">
        <is>
          <t>💡 CONSEJOS</t>
        </is>
      </c>
      <c r="B14" s="9" t="inlineStr"/>
    </row>
    <row r="15" ht="22" customHeight="1">
      <c r="A15" s="6" t="inlineStr">
        <is>
          <t>Actualización</t>
        </is>
      </c>
      <c r="B15" s="6" t="inlineStr">
        <is>
          <t>Actualiza el archivo cada quincena al recibir tu pago.</t>
        </is>
      </c>
    </row>
    <row r="16" ht="22" customHeight="1">
      <c r="A16" s="9" t="inlineStr">
        <is>
          <t>Gastos</t>
        </is>
      </c>
      <c r="B16" s="9" t="inlineStr">
        <is>
          <t>Registra gastos apenas los hagas para no olvidarlos.</t>
        </is>
      </c>
    </row>
    <row r="17" ht="22" customHeight="1">
      <c r="A17" s="6" t="inlineStr">
        <is>
          <t>Deudas</t>
        </is>
      </c>
      <c r="B17" s="6" t="inlineStr">
        <is>
          <t>Revisa el saldo de deudas una vez al mes.</t>
        </is>
      </c>
    </row>
    <row r="18" ht="22" customHeight="1">
      <c r="A18" s="9" t="inlineStr">
        <is>
          <t>Ahorros</t>
        </is>
      </c>
      <c r="B18" s="9" t="inlineStr">
        <is>
          <t>Transfiere a ahorro primero antes de gastar (págate a ti mismo).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2026-04-06T03:41:21Z</dcterms:created>
  <dcterms:modified xsi:type="dcterms:W3CDTF">2026-04-06T03:41:21Z</dcterms:modified>
</cp:coreProperties>
</file>